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lyousef\OneDrive - Diriyah Gate Company Limited\Documents\"/>
    </mc:Choice>
  </mc:AlternateContent>
  <xr:revisionPtr revIDLastSave="0" documentId="13_ncr:1_{9A280C5F-EC72-4068-AD1C-3F303B2F46D3}" xr6:coauthVersionLast="47" xr6:coauthVersionMax="47" xr10:uidLastSave="{00000000-0000-0000-0000-000000000000}"/>
  <bookViews>
    <workbookView xWindow="-110" yWindow="-110" windowWidth="19420" windowHeight="11500" activeTab="2" xr2:uid="{0223473C-26FD-45F9-8CCA-C4517E0A143D}"/>
  </bookViews>
  <sheets>
    <sheet name="Sheet1" sheetId="1" r:id="rId1"/>
    <sheet name="Sheet2" sheetId="2" r:id="rId2"/>
    <sheet name="Sheet2 (2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3" l="1"/>
  <c r="M4" i="3" s="1"/>
  <c r="I4" i="2"/>
  <c r="H4" i="2"/>
  <c r="E4" i="2"/>
  <c r="D4" i="2"/>
  <c r="F3" i="2"/>
  <c r="D6" i="1"/>
  <c r="E6" i="1"/>
  <c r="C6" i="1"/>
  <c r="H4" i="3" l="1"/>
  <c r="L4" i="3"/>
  <c r="G4" i="3"/>
</calcChain>
</file>

<file path=xl/sharedStrings.xml><?xml version="1.0" encoding="utf-8"?>
<sst xmlns="http://schemas.openxmlformats.org/spreadsheetml/2006/main" count="30" uniqueCount="20">
  <si>
    <t>Gender</t>
  </si>
  <si>
    <t>Non Saudi</t>
  </si>
  <si>
    <t>Saudi</t>
  </si>
  <si>
    <t>Grand Total</t>
  </si>
  <si>
    <t>Female</t>
  </si>
  <si>
    <t>Male</t>
  </si>
  <si>
    <t>Total</t>
  </si>
  <si>
    <t>Male Employees</t>
  </si>
  <si>
    <t>Female Employees</t>
  </si>
  <si>
    <t>Total Employees</t>
  </si>
  <si>
    <t>Saudization</t>
  </si>
  <si>
    <t>Year</t>
  </si>
  <si>
    <t>ratio</t>
  </si>
  <si>
    <t>Female Employees Ratio</t>
  </si>
  <si>
    <t>Item</t>
  </si>
  <si>
    <t>Gender-Female</t>
  </si>
  <si>
    <t>Male Employees Ratio</t>
  </si>
  <si>
    <t>Gender-Male</t>
  </si>
  <si>
    <t>Male Ratio</t>
  </si>
  <si>
    <t>Female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</si>
</sst>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242424"/>
      <name val="Inherit"/>
    </font>
    <font>
      <sz val="11"/>
      <color rgb="FF242424"/>
      <name val="Inherit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wrapText="1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10" fontId="0" fillId="5" borderId="0" xfId="0" applyNumberFormat="1" applyFill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9" fontId="0" fillId="0" borderId="0" xfId="0" applyNumberFormat="1"/>
    <xf numFmtId="0" fontId="6" fillId="0" borderId="8" xfId="0" applyFont="1" applyBorder="1" applyAlignment="1">
      <alignment horizontal="center"/>
    </xf>
    <xf numFmtId="0" fontId="0" fillId="0" borderId="0" xfId="0"/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9" fontId="4" fillId="0" borderId="4" xfId="0" applyNumberFormat="1" applyFont="1" applyBorder="1" applyAlignment="1">
      <alignment horizontal="center" vertical="center" wrapText="1"/>
    </xf>
    <xf numFmtId="9" fontId="0" fillId="5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Saudi vs Non-Saudi</a:t>
            </a:r>
            <a:r>
              <a:rPr lang="en-US" baseline="0"/>
              <a:t> Employees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Non Saudi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Sheet1!$B$4:$B$6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Total</c:v>
                </c:pt>
              </c:strCache>
            </c:strRef>
          </c:cat>
          <c:val>
            <c:numRef>
              <c:f>Sheet1!$C$4:$C$6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FC-4091-86D4-EB9325EDC95E}"/>
            </c:ext>
          </c:extLst>
        </c:ser>
        <c:ser>
          <c:idx val="1"/>
          <c:order val="1"/>
          <c:tx>
            <c:strRef>
              <c:f>Sheet1!$D$3</c:f>
              <c:strCache>
                <c:ptCount val="1"/>
                <c:pt idx="0">
                  <c:v>Saudi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Sheet1!$B$4:$B$6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Total</c:v>
                </c:pt>
              </c:strCache>
            </c:strRef>
          </c:cat>
          <c:val>
            <c:numRef>
              <c:f>Sheet1!$D$4:$D$6</c:f>
              <c:numCache>
                <c:formatCode>General</c:formatCode>
                <c:ptCount val="3"/>
                <c:pt idx="0">
                  <c:v>236</c:v>
                </c:pt>
                <c:pt idx="1">
                  <c:v>266</c:v>
                </c:pt>
                <c:pt idx="2">
                  <c:v>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FC-4091-86D4-EB9325EDC95E}"/>
            </c:ext>
          </c:extLst>
        </c:ser>
        <c:ser>
          <c:idx val="2"/>
          <c:order val="2"/>
          <c:tx>
            <c:strRef>
              <c:f>Sheet1!$E$3</c:f>
              <c:strCache>
                <c:ptCount val="1"/>
                <c:pt idx="0">
                  <c:v>Grand 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Sheet1!$B$4:$B$6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Total</c:v>
                </c:pt>
              </c:strCache>
            </c:strRef>
          </c:cat>
          <c:val>
            <c:numRef>
              <c:f>Sheet1!$E$4:$E$6</c:f>
              <c:numCache>
                <c:formatCode>General</c:formatCode>
                <c:ptCount val="3"/>
                <c:pt idx="0">
                  <c:v>246</c:v>
                </c:pt>
                <c:pt idx="1">
                  <c:v>286</c:v>
                </c:pt>
                <c:pt idx="2">
                  <c:v>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FC-4091-86D4-EB9325EDC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0590336"/>
        <c:axId val="170591296"/>
      </c:barChart>
      <c:catAx>
        <c:axId val="170590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91296"/>
        <c:crosses val="autoZero"/>
        <c:auto val="1"/>
        <c:lblAlgn val="ctr"/>
        <c:lblOffset val="100"/>
        <c:noMultiLvlLbl val="0"/>
      </c:catAx>
      <c:valAx>
        <c:axId val="170591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9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Male vs Female Employees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39-4282-902C-2D758B326EF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39-4282-902C-2D758B326E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Sheet1!$B$4:$B$5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Sheet1!$E$4:$E$5</c:f>
              <c:numCache>
                <c:formatCode>General</c:formatCode>
                <c:ptCount val="2"/>
                <c:pt idx="0">
                  <c:v>246</c:v>
                </c:pt>
                <c:pt idx="1">
                  <c:v>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39-4282-902C-2D758B326EF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Saudi vs Non-Saudi</a:t>
            </a:r>
            <a:r>
              <a:rPr lang="en-US" baseline="0"/>
              <a:t> Employees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Non Saudi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Sheet1!$B$4:$B$6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Total</c:v>
                </c:pt>
              </c:strCache>
            </c:strRef>
          </c:cat>
          <c:val>
            <c:numRef>
              <c:f>Sheet1!$C$4:$C$6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4C-48FA-9206-18DCFBFD1285}"/>
            </c:ext>
          </c:extLst>
        </c:ser>
        <c:ser>
          <c:idx val="1"/>
          <c:order val="1"/>
          <c:tx>
            <c:strRef>
              <c:f>Sheet1!$D$3</c:f>
              <c:strCache>
                <c:ptCount val="1"/>
                <c:pt idx="0">
                  <c:v>Saudi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Sheet1!$B$4:$B$6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Total</c:v>
                </c:pt>
              </c:strCache>
            </c:strRef>
          </c:cat>
          <c:val>
            <c:numRef>
              <c:f>Sheet1!$D$4:$D$6</c:f>
              <c:numCache>
                <c:formatCode>General</c:formatCode>
                <c:ptCount val="3"/>
                <c:pt idx="0">
                  <c:v>236</c:v>
                </c:pt>
                <c:pt idx="1">
                  <c:v>266</c:v>
                </c:pt>
                <c:pt idx="2">
                  <c:v>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4C-48FA-9206-18DCFBFD1285}"/>
            </c:ext>
          </c:extLst>
        </c:ser>
        <c:ser>
          <c:idx val="2"/>
          <c:order val="2"/>
          <c:tx>
            <c:strRef>
              <c:f>Sheet1!$E$3</c:f>
              <c:strCache>
                <c:ptCount val="1"/>
                <c:pt idx="0">
                  <c:v>Grand 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Sheet1!$B$4:$B$6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Total</c:v>
                </c:pt>
              </c:strCache>
            </c:strRef>
          </c:cat>
          <c:val>
            <c:numRef>
              <c:f>Sheet1!$E$4:$E$6</c:f>
              <c:numCache>
                <c:formatCode>General</c:formatCode>
                <c:ptCount val="3"/>
                <c:pt idx="0">
                  <c:v>246</c:v>
                </c:pt>
                <c:pt idx="1">
                  <c:v>286</c:v>
                </c:pt>
                <c:pt idx="2">
                  <c:v>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4C-48FA-9206-18DCFBFD1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0590336"/>
        <c:axId val="170591296"/>
      </c:barChart>
      <c:catAx>
        <c:axId val="170590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91296"/>
        <c:crosses val="autoZero"/>
        <c:auto val="1"/>
        <c:lblAlgn val="ctr"/>
        <c:lblOffset val="100"/>
        <c:noMultiLvlLbl val="0"/>
      </c:catAx>
      <c:valAx>
        <c:axId val="170591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9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Male vs Female Employees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AA5-4A42-BE1D-F5C612F7A4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AA5-4A42-BE1D-F5C612F7A4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Sheet1!$B$4:$B$5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Sheet1!$E$4:$E$5</c:f>
              <c:numCache>
                <c:formatCode>General</c:formatCode>
                <c:ptCount val="2"/>
                <c:pt idx="0">
                  <c:v>246</c:v>
                </c:pt>
                <c:pt idx="1">
                  <c:v>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A5-4A42-BE1D-F5C612F7A46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Employment</a:t>
            </a:r>
            <a:r>
              <a:rPr lang="en-US" baseline="0"/>
              <a:t> 2022-2025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'Sheet2 (2)'!$A$3</c:f>
              <c:strCache>
                <c:ptCount val="1"/>
                <c:pt idx="0">
                  <c:v>Saudization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'Sheet2 (2)'!$B$2:$E$2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'Sheet2 (2)'!$B$3:$E$3</c:f>
              <c:numCache>
                <c:formatCode>0%</c:formatCode>
                <c:ptCount val="4"/>
                <c:pt idx="0">
                  <c:v>0.93</c:v>
                </c:pt>
                <c:pt idx="1">
                  <c:v>0.94</c:v>
                </c:pt>
                <c:pt idx="2">
                  <c:v>0.94</c:v>
                </c:pt>
                <c:pt idx="3">
                  <c:v>0.94360902255639101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8F-4BF2-B37C-ABCE11383F19}"/>
            </c:ext>
          </c:extLst>
        </c:ser>
        <c:ser>
          <c:idx val="1"/>
          <c:order val="1"/>
          <c:tx>
            <c:strRef>
              <c:f>'Sheet2 (2)'!$A$4</c:f>
              <c:strCache>
                <c:ptCount val="1"/>
                <c:pt idx="0">
                  <c:v>Male Ratio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'Sheet2 (2)'!$B$2:$E$2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'Sheet2 (2)'!$B$4:$E$4</c:f>
              <c:numCache>
                <c:formatCode>0%</c:formatCode>
                <c:ptCount val="4"/>
                <c:pt idx="0">
                  <c:v>0.54</c:v>
                </c:pt>
                <c:pt idx="1">
                  <c:v>0.54</c:v>
                </c:pt>
                <c:pt idx="2">
                  <c:v>0.55000000000000004</c:v>
                </c:pt>
                <c:pt idx="3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8F-4BF2-B37C-ABCE11383F19}"/>
            </c:ext>
          </c:extLst>
        </c:ser>
        <c:ser>
          <c:idx val="2"/>
          <c:order val="2"/>
          <c:tx>
            <c:strRef>
              <c:f>'Sheet2 (2)'!$A$5</c:f>
              <c:strCache>
                <c:ptCount val="1"/>
                <c:pt idx="0">
                  <c:v>Female Ratio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'Sheet2 (2)'!$B$2:$E$2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'Sheet2 (2)'!$B$5:$E$5</c:f>
              <c:numCache>
                <c:formatCode>0%</c:formatCode>
                <c:ptCount val="4"/>
                <c:pt idx="0">
                  <c:v>0.46</c:v>
                </c:pt>
                <c:pt idx="1">
                  <c:v>0.46</c:v>
                </c:pt>
                <c:pt idx="2">
                  <c:v>0.45</c:v>
                </c:pt>
                <c:pt idx="3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8F-4BF2-B37C-ABCE11383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219840"/>
        <c:axId val="1926204000"/>
      </c:lineChart>
      <c:catAx>
        <c:axId val="192621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204000"/>
        <c:crosses val="autoZero"/>
        <c:auto val="1"/>
        <c:lblAlgn val="ctr"/>
        <c:lblOffset val="100"/>
        <c:noMultiLvlLbl val="0"/>
      </c:catAx>
      <c:valAx>
        <c:axId val="192620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21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241300</xdr:colOff>
      <xdr:row>4</xdr:row>
      <xdr:rowOff>171450</xdr:rowOff>
    </xdr:from>
    <xdr:to>
      <xdr:col>7</xdr:col>
      <xdr:colOff>384175</xdr:colOff>
      <xdr:row>19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57B075-2654-4FA2-A9BE-FCBA8BB2BF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558800</xdr:colOff>
      <xdr:row>4</xdr:row>
      <xdr:rowOff>171450</xdr:rowOff>
    </xdr:from>
    <xdr:to>
      <xdr:col>12</xdr:col>
      <xdr:colOff>269875</xdr:colOff>
      <xdr:row>19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D465FA-6DFF-4829-8B2C-312E4FA65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628651</xdr:colOff>
      <xdr:row>5</xdr:row>
      <xdr:rowOff>120650</xdr:rowOff>
    </xdr:from>
    <xdr:to>
      <xdr:col>15</xdr:col>
      <xdr:colOff>215900</xdr:colOff>
      <xdr:row>20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2FA33A-7DDD-4795-9188-A201C57A02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876300</xdr:colOff>
      <xdr:row>5</xdr:row>
      <xdr:rowOff>120650</xdr:rowOff>
    </xdr:from>
    <xdr:to>
      <xdr:col>8</xdr:col>
      <xdr:colOff>485775</xdr:colOff>
      <xdr:row>20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CE0DEC-FFC3-498F-81D5-A473EA6EAC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41275</xdr:colOff>
      <xdr:row>5</xdr:row>
      <xdr:rowOff>127000</xdr:rowOff>
    </xdr:from>
    <xdr:to>
      <xdr:col>5</xdr:col>
      <xdr:colOff>736600</xdr:colOff>
      <xdr:row>20</xdr:row>
      <xdr:rowOff>107950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9D00DB-3A12-E6E0-6034-CD044752BB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DD5E1-883B-4237-A8E3-7113F41DD3BD}">
  <dimension ref="B2:O7"/>
  <sheetViews>
    <sheetView workbookViewId="0">
      <selection activeCell="O5" sqref="O5:O7"/>
    </sheetView>
  </sheetViews>
  <sheetFormatPr defaultRowHeight="14.5"/>
  <cols>
    <col min="11" max="11" width="11.36328125" customWidth="1"/>
    <col min="12" max="12" width="14.81640625" customWidth="1"/>
  </cols>
  <sheetData>
    <row r="2" spans="2:15" ht="15" thickBot="1">
      <c r="H2" t="s">
        <v>10</v>
      </c>
    </row>
    <row r="3" spans="2:15" ht="28.5" thickBot="1">
      <c r="B3" s="1" t="s">
        <v>0</v>
      </c>
      <c r="C3" s="2" t="s">
        <v>1</v>
      </c>
      <c r="D3" s="2" t="s">
        <v>2</v>
      </c>
      <c r="E3" s="2" t="s">
        <v>3</v>
      </c>
      <c r="H3" t="s">
        <v>11</v>
      </c>
      <c r="I3" t="s">
        <v>12</v>
      </c>
      <c r="K3" s="15" t="s">
        <v>13</v>
      </c>
      <c r="L3" s="15"/>
      <c r="N3" s="16" t="s">
        <v>16</v>
      </c>
      <c r="O3" s="16"/>
    </row>
    <row r="4" spans="2:15" ht="29.5" thickBot="1">
      <c r="B4" s="3" t="s">
        <v>4</v>
      </c>
      <c r="C4" s="4">
        <v>10</v>
      </c>
      <c r="D4" s="4">
        <v>236</v>
      </c>
      <c r="E4" s="4">
        <v>246</v>
      </c>
      <c r="H4">
        <v>2022</v>
      </c>
      <c r="I4" s="14">
        <v>0.93</v>
      </c>
      <c r="K4" s="17" t="s">
        <v>14</v>
      </c>
      <c r="L4" s="19" t="s">
        <v>15</v>
      </c>
      <c r="N4" s="16" t="s">
        <v>11</v>
      </c>
      <c r="O4" s="16" t="s">
        <v>17</v>
      </c>
    </row>
    <row r="5" spans="2:15" ht="15" thickBot="1">
      <c r="B5" s="3" t="s">
        <v>5</v>
      </c>
      <c r="C5" s="5">
        <v>20</v>
      </c>
      <c r="D5" s="5">
        <v>266</v>
      </c>
      <c r="E5" s="5">
        <v>286</v>
      </c>
      <c r="H5">
        <v>2023</v>
      </c>
      <c r="I5" s="14">
        <v>0.94</v>
      </c>
      <c r="K5" s="18">
        <v>2022</v>
      </c>
      <c r="L5" s="20">
        <v>0.46</v>
      </c>
      <c r="N5" s="16">
        <v>2022</v>
      </c>
      <c r="O5" s="14">
        <v>0.54</v>
      </c>
    </row>
    <row r="6" spans="2:15" ht="15" thickBot="1">
      <c r="B6" s="3" t="s">
        <v>6</v>
      </c>
      <c r="C6" s="4">
        <f>SUM(C4:C5)</f>
        <v>30</v>
      </c>
      <c r="D6" s="4">
        <f t="shared" ref="D6:E6" si="0">SUM(D4:D5)</f>
        <v>502</v>
      </c>
      <c r="E6" s="4">
        <f t="shared" si="0"/>
        <v>532</v>
      </c>
      <c r="H6">
        <v>2024</v>
      </c>
      <c r="I6" s="14">
        <v>0.94</v>
      </c>
      <c r="K6" s="18">
        <v>2023</v>
      </c>
      <c r="L6" s="20">
        <v>0.46</v>
      </c>
      <c r="N6" s="16">
        <v>2023</v>
      </c>
      <c r="O6" s="14">
        <v>0.54</v>
      </c>
    </row>
    <row r="7" spans="2:15" ht="15" thickBot="1">
      <c r="H7">
        <v>2025</v>
      </c>
      <c r="I7" s="14">
        <v>0.94360902255639101</v>
      </c>
      <c r="K7" s="18">
        <v>2024</v>
      </c>
      <c r="L7" s="20">
        <v>0.45</v>
      </c>
      <c r="N7" s="16">
        <v>2024</v>
      </c>
      <c r="O7" s="14">
        <v>0.55000000000000004</v>
      </c>
    </row>
  </sheetData>
  <mergeCells count="1">
    <mergeCell ref="K3:L3"/>
  </mergeCells>
  <pageMargins left="0.7" right="0.7" top="0.75" bottom="0.75" header="0.3" footer="0.3"/>
  <headerFooter>
    <oddFooter>&amp;L_x000D_&amp;1#&amp;"Aptos"&amp;12&amp;K000000 Information Classification: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8E882-4563-4E76-8448-15F8744F5CFD}">
  <dimension ref="D1:I4"/>
  <sheetViews>
    <sheetView workbookViewId="0">
      <selection activeCell="H4" sqref="H4"/>
    </sheetView>
  </sheetViews>
  <sheetFormatPr defaultRowHeight="14.5"/>
  <cols>
    <col min="1" max="3" width="8.7265625" style="6"/>
    <col min="4" max="4" width="14.36328125" style="6" bestFit="1" customWidth="1"/>
    <col min="5" max="5" width="16.54296875" style="6" bestFit="1" customWidth="1"/>
    <col min="6" max="6" width="14.453125" style="6" bestFit="1" customWidth="1"/>
    <col min="7" max="7" width="8.7265625" style="6"/>
    <col min="8" max="8" width="8.36328125" style="6" customWidth="1"/>
    <col min="9" max="9" width="9.36328125" style="6" bestFit="1" customWidth="1"/>
    <col min="10" max="16384" width="8.7265625" style="6"/>
  </cols>
  <sheetData>
    <row r="1" spans="4:9" ht="15" thickBot="1"/>
    <row r="2" spans="4:9" ht="15" thickBot="1">
      <c r="D2" s="10" t="s">
        <v>7</v>
      </c>
      <c r="E2" s="11" t="s">
        <v>8</v>
      </c>
      <c r="F2" s="12" t="s">
        <v>9</v>
      </c>
      <c r="G2" s="7"/>
      <c r="H2" s="13" t="s">
        <v>2</v>
      </c>
      <c r="I2" s="12" t="s">
        <v>1</v>
      </c>
    </row>
    <row r="3" spans="4:9">
      <c r="D3" s="8">
        <v>286</v>
      </c>
      <c r="E3" s="8">
        <v>246</v>
      </c>
      <c r="F3" s="8">
        <f>SUM(D3:E3)</f>
        <v>532</v>
      </c>
      <c r="G3" s="7"/>
      <c r="H3" s="8">
        <v>502</v>
      </c>
      <c r="I3" s="8">
        <v>30</v>
      </c>
    </row>
    <row r="4" spans="4:9">
      <c r="D4" s="9">
        <f>D3/F3</f>
        <v>0.53759398496240607</v>
      </c>
      <c r="E4" s="9">
        <f>E3/F3</f>
        <v>0.46240601503759399</v>
      </c>
      <c r="H4" s="9">
        <f>H3/F3</f>
        <v>0.94360902255639101</v>
      </c>
      <c r="I4" s="9">
        <f>I3/F3</f>
        <v>5.6390977443609019E-2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3AC91-B1B9-4C72-AD01-B12EDB5CC882}">
  <dimension ref="A1:M5"/>
  <sheetViews>
    <sheetView tabSelected="1" workbookViewId="0">
      <selection activeCell="N3" sqref="N3"/>
    </sheetView>
  </sheetViews>
  <sheetFormatPr defaultRowHeight="14.5"/>
  <cols>
    <col min="1" max="1" width="11.7265625" style="6" bestFit="1" customWidth="1"/>
    <col min="2" max="5" width="6.08984375" style="6" customWidth="1"/>
    <col min="6" max="6" width="14.453125" style="6" bestFit="1" customWidth="1"/>
    <col min="7" max="7" width="14.36328125" style="6" bestFit="1" customWidth="1"/>
    <col min="8" max="8" width="16.54296875" style="6" bestFit="1" customWidth="1"/>
    <col min="9" max="9" width="14.453125" style="6" bestFit="1" customWidth="1"/>
    <col min="10" max="16384" width="8.7265625" style="6"/>
  </cols>
  <sheetData>
    <row r="1" spans="1:13" ht="15" thickBot="1"/>
    <row r="2" spans="1:13" ht="15" thickBot="1">
      <c r="A2" s="10" t="s">
        <v>11</v>
      </c>
      <c r="B2" s="8">
        <v>2022</v>
      </c>
      <c r="C2" s="8">
        <v>2023</v>
      </c>
      <c r="D2" s="8">
        <v>2024</v>
      </c>
      <c r="E2" s="8">
        <v>2025</v>
      </c>
      <c r="G2" s="10" t="s">
        <v>7</v>
      </c>
      <c r="H2" s="11" t="s">
        <v>8</v>
      </c>
      <c r="I2" s="12" t="s">
        <v>9</v>
      </c>
      <c r="J2" s="7"/>
      <c r="L2" s="13" t="s">
        <v>2</v>
      </c>
      <c r="M2" s="12" t="s">
        <v>1</v>
      </c>
    </row>
    <row r="3" spans="1:13" ht="15" thickBot="1">
      <c r="A3" s="10" t="s">
        <v>10</v>
      </c>
      <c r="B3" s="21">
        <v>0.93</v>
      </c>
      <c r="C3" s="21">
        <v>0.94</v>
      </c>
      <c r="D3" s="21">
        <v>0.94</v>
      </c>
      <c r="E3" s="21">
        <v>0.94360902255639101</v>
      </c>
      <c r="G3" s="8">
        <v>286</v>
      </c>
      <c r="H3" s="8">
        <v>246</v>
      </c>
      <c r="I3" s="8">
        <f>SUM(G3:H3)</f>
        <v>532</v>
      </c>
      <c r="J3" s="7"/>
      <c r="L3" s="8">
        <v>502</v>
      </c>
      <c r="M3" s="8">
        <v>30</v>
      </c>
    </row>
    <row r="4" spans="1:13" ht="15" thickBot="1">
      <c r="A4" s="10" t="s">
        <v>18</v>
      </c>
      <c r="B4" s="21">
        <v>0.54</v>
      </c>
      <c r="C4" s="21">
        <v>0.54</v>
      </c>
      <c r="D4" s="21">
        <v>0.55000000000000004</v>
      </c>
      <c r="E4" s="21">
        <v>0.54</v>
      </c>
      <c r="G4" s="9">
        <f>G3/I3</f>
        <v>0.53759398496240607</v>
      </c>
      <c r="H4" s="9">
        <f>H3/I3</f>
        <v>0.46240601503759399</v>
      </c>
      <c r="L4" s="9">
        <f>L3/I3</f>
        <v>0.94360902255639101</v>
      </c>
      <c r="M4" s="9">
        <f>M3/I3</f>
        <v>5.6390977443609019E-2</v>
      </c>
    </row>
    <row r="5" spans="1:13" ht="15" thickBot="1">
      <c r="A5" s="10" t="s">
        <v>19</v>
      </c>
      <c r="B5" s="21">
        <v>0.46</v>
      </c>
      <c r="C5" s="21">
        <v>0.46</v>
      </c>
      <c r="D5" s="21">
        <v>0.45</v>
      </c>
      <c r="E5" s="21">
        <v>0.46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Alanoud Alyousef</dc:creator>
  <cp:lastModifiedBy>Alanoud Alyousef</cp:lastModifiedBy>
  <dcterms:created xsi:type="dcterms:W3CDTF">2026-04-08T09:49:35Z</dcterms:created>
  <dcterms:modified xsi:type="dcterms:W3CDTF">2026-04-08T11:16:20Z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86260be-c5d9-4247-b9a5-64fd759dd744_Enabled">
    <vt:lpwstr>true</vt:lpwstr>
  </property>
  <property fmtid="{D5CDD505-2E9C-101B-9397-08002B2CF9AE}" pid="3" name="MSIP_Label_d86260be-c5d9-4247-b9a5-64fd759dd744_SetDate">
    <vt:lpwstr>2026-04-08T09:50:29Z</vt:lpwstr>
  </property>
  <property fmtid="{D5CDD505-2E9C-101B-9397-08002B2CF9AE}" pid="4" name="MSIP_Label_d86260be-c5d9-4247-b9a5-64fd759dd744_Method">
    <vt:lpwstr>Privileged</vt:lpwstr>
  </property>
  <property fmtid="{D5CDD505-2E9C-101B-9397-08002B2CF9AE}" pid="5" name="MSIP_Label_d86260be-c5d9-4247-b9a5-64fd759dd744_Name">
    <vt:lpwstr>Public</vt:lpwstr>
  </property>
  <property fmtid="{D5CDD505-2E9C-101B-9397-08002B2CF9AE}" pid="6" name="MSIP_Label_d86260be-c5d9-4247-b9a5-64fd759dd744_SiteId">
    <vt:lpwstr>d4c9706e-143f-4bfd-876b-b25d18e0287e</vt:lpwstr>
  </property>
  <property fmtid="{D5CDD505-2E9C-101B-9397-08002B2CF9AE}" pid="7" name="MSIP_Label_d86260be-c5d9-4247-b9a5-64fd759dd744_ActionId">
    <vt:lpwstr>b2e0f058-d353-4e56-a8f4-efae44218d3a</vt:lpwstr>
  </property>
  <property fmtid="{D5CDD505-2E9C-101B-9397-08002B2CF9AE}" pid="8" name="MSIP_Label_d86260be-c5d9-4247-b9a5-64fd759dd744_ContentBits">
    <vt:lpwstr>2</vt:lpwstr>
  </property>
  <property fmtid="{D5CDD505-2E9C-101B-9397-08002B2CF9AE}" pid="9" name="MSIP_Label_d86260be-c5d9-4247-b9a5-64fd759dd744_Tag">
    <vt:lpwstr>10, 0, 1, 1</vt:lpwstr>
  </property>
</Properties>
</file>